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dhuri\Downloads\"/>
    </mc:Choice>
  </mc:AlternateContent>
  <xr:revisionPtr revIDLastSave="0" documentId="13_ncr:1_{04A5F72A-CBC8-44AF-AADD-9EEEA894520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ity-Category Data" sheetId="1" r:id="rId1"/>
    <sheet name="Category Reference" sheetId="2" r:id="rId2"/>
    <sheet name="Revenue Pivot Table" sheetId="3" r:id="rId3"/>
    <sheet name="KPI 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4" l="1"/>
  <c r="C7" i="4"/>
  <c r="B7" i="4"/>
  <c r="F7" i="4" s="1"/>
  <c r="D6" i="4"/>
  <c r="C6" i="4"/>
  <c r="B6" i="4"/>
  <c r="F6" i="4" s="1"/>
  <c r="D5" i="4"/>
  <c r="C5" i="4"/>
  <c r="B5" i="4"/>
  <c r="F5" i="4" s="1"/>
  <c r="D4" i="4"/>
  <c r="C4" i="4"/>
  <c r="B4" i="4"/>
  <c r="F4" i="4" s="1"/>
  <c r="D3" i="4"/>
  <c r="C3" i="4"/>
  <c r="B3" i="4"/>
  <c r="F3" i="4" s="1"/>
  <c r="D2" i="4"/>
  <c r="C2" i="4"/>
  <c r="B2" i="4"/>
  <c r="F2" i="4" s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</calcChain>
</file>

<file path=xl/sharedStrings.xml><?xml version="1.0" encoding="utf-8"?>
<sst xmlns="http://schemas.openxmlformats.org/spreadsheetml/2006/main" count="88" uniqueCount="25">
  <si>
    <t>city</t>
  </si>
  <si>
    <t>category</t>
  </si>
  <si>
    <t>bookings_count</t>
  </si>
  <si>
    <t>revenue_inr</t>
  </si>
  <si>
    <t>sla_breaches</t>
  </si>
  <si>
    <t>min_price_inr</t>
  </si>
  <si>
    <t>max_price_inr</t>
  </si>
  <si>
    <t>Bengaluru</t>
  </si>
  <si>
    <t>AC Repair &amp; Service</t>
  </si>
  <si>
    <t>Deep Home Cleaning</t>
  </si>
  <si>
    <t>Electrical Repair</t>
  </si>
  <si>
    <t>Plumbing</t>
  </si>
  <si>
    <t>Salon for Men</t>
  </si>
  <si>
    <t>Salon for Women</t>
  </si>
  <si>
    <t>Chennai</t>
  </si>
  <si>
    <t>Delhi NCR</t>
  </si>
  <si>
    <t>Hyderabad</t>
  </si>
  <si>
    <t>Mumbai</t>
  </si>
  <si>
    <t>Pune</t>
  </si>
  <si>
    <t>City</t>
  </si>
  <si>
    <t>Total Revenue (INR)</t>
  </si>
  <si>
    <t>Total SLA Breaches</t>
  </si>
  <si>
    <t>City-Category Combinations</t>
  </si>
  <si>
    <t>Part A SQL Total (INR)</t>
  </si>
  <si>
    <t>Matches Part A SQL total?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</si>
</sst>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workbookViewId="0">
      <selection activeCell="M26" sqref="M26"/>
    </sheetView>
  </sheetViews>
  <sheetFormatPr defaultRowHeight="14.4" x14ac:dyDescent="0.3"/>
  <cols>
    <col min="2" max="2" width="18.109375" bestFit="1" customWidth="1"/>
    <col min="3" max="3" width="14" bestFit="1" customWidth="1"/>
    <col min="4" max="4" width="10.6640625" bestFit="1" customWidth="1"/>
    <col min="5" max="5" width="11.5546875" bestFit="1" customWidth="1"/>
    <col min="6" max="6" width="12.109375" bestFit="1" customWidth="1"/>
    <col min="7" max="7" width="12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25</v>
      </c>
      <c r="D2">
        <v>37340</v>
      </c>
      <c r="E2">
        <v>3</v>
      </c>
      <c r="F2">
        <f>VLOOKUP(B2, 'Category Reference'!$A$2:$C$7, 2, FALSE)</f>
        <v>499</v>
      </c>
      <c r="G2">
        <f>VLOOKUP(B2, 'Category Reference'!$A$2:$C$7, 3, FALSE)</f>
        <v>2499</v>
      </c>
    </row>
    <row r="3" spans="1:7" x14ac:dyDescent="0.3">
      <c r="A3" t="s">
        <v>7</v>
      </c>
      <c r="B3" t="s">
        <v>9</v>
      </c>
      <c r="C3">
        <v>24</v>
      </c>
      <c r="D3">
        <v>67699</v>
      </c>
      <c r="E3">
        <v>2</v>
      </c>
      <c r="F3">
        <f>VLOOKUP(B3, 'Category Reference'!$A$2:$C$7, 2, FALSE)</f>
        <v>999</v>
      </c>
      <c r="G3">
        <f>VLOOKUP(B3, 'Category Reference'!$A$2:$C$7, 3, FALSE)</f>
        <v>4999</v>
      </c>
    </row>
    <row r="4" spans="1:7" x14ac:dyDescent="0.3">
      <c r="A4" t="s">
        <v>7</v>
      </c>
      <c r="B4" t="s">
        <v>10</v>
      </c>
      <c r="C4">
        <v>13</v>
      </c>
      <c r="D4">
        <v>11762</v>
      </c>
      <c r="E4">
        <v>3</v>
      </c>
      <c r="F4">
        <f>VLOOKUP(B4, 'Category Reference'!$A$2:$C$7, 2, FALSE)</f>
        <v>199</v>
      </c>
      <c r="G4">
        <f>VLOOKUP(B4, 'Category Reference'!$A$2:$C$7, 3, FALSE)</f>
        <v>1999</v>
      </c>
    </row>
    <row r="5" spans="1:7" x14ac:dyDescent="0.3">
      <c r="A5" t="s">
        <v>7</v>
      </c>
      <c r="B5" t="s">
        <v>11</v>
      </c>
      <c r="C5">
        <v>15</v>
      </c>
      <c r="D5">
        <v>13158</v>
      </c>
      <c r="E5">
        <v>2</v>
      </c>
      <c r="F5">
        <f>VLOOKUP(B5, 'Category Reference'!$A$2:$C$7, 2, FALSE)</f>
        <v>199</v>
      </c>
      <c r="G5">
        <f>VLOOKUP(B5, 'Category Reference'!$A$2:$C$7, 3, FALSE)</f>
        <v>1499</v>
      </c>
    </row>
    <row r="6" spans="1:7" x14ac:dyDescent="0.3">
      <c r="A6" t="s">
        <v>7</v>
      </c>
      <c r="B6" t="s">
        <v>12</v>
      </c>
      <c r="C6">
        <v>11</v>
      </c>
      <c r="D6">
        <v>10156</v>
      </c>
      <c r="E6">
        <v>0</v>
      </c>
      <c r="F6">
        <f>VLOOKUP(B6, 'Category Reference'!$A$2:$C$7, 2, FALSE)</f>
        <v>349</v>
      </c>
      <c r="G6">
        <f>VLOOKUP(B6, 'Category Reference'!$A$2:$C$7, 3, FALSE)</f>
        <v>1499</v>
      </c>
    </row>
    <row r="7" spans="1:7" x14ac:dyDescent="0.3">
      <c r="A7" t="s">
        <v>7</v>
      </c>
      <c r="B7" t="s">
        <v>13</v>
      </c>
      <c r="C7">
        <v>19</v>
      </c>
      <c r="D7">
        <v>43851</v>
      </c>
      <c r="E7">
        <v>3</v>
      </c>
      <c r="F7">
        <f>VLOOKUP(B7, 'Category Reference'!$A$2:$C$7, 2, FALSE)</f>
        <v>699</v>
      </c>
      <c r="G7">
        <f>VLOOKUP(B7, 'Category Reference'!$A$2:$C$7, 3, FALSE)</f>
        <v>3499</v>
      </c>
    </row>
    <row r="8" spans="1:7" x14ac:dyDescent="0.3">
      <c r="A8" t="s">
        <v>14</v>
      </c>
      <c r="B8" t="s">
        <v>8</v>
      </c>
      <c r="C8">
        <v>14</v>
      </c>
      <c r="D8">
        <v>21387</v>
      </c>
      <c r="E8">
        <v>4</v>
      </c>
      <c r="F8">
        <f>VLOOKUP(B8, 'Category Reference'!$A$2:$C$7, 2, FALSE)</f>
        <v>499</v>
      </c>
      <c r="G8">
        <f>VLOOKUP(B8, 'Category Reference'!$A$2:$C$7, 3, FALSE)</f>
        <v>2499</v>
      </c>
    </row>
    <row r="9" spans="1:7" x14ac:dyDescent="0.3">
      <c r="A9" t="s">
        <v>14</v>
      </c>
      <c r="B9" t="s">
        <v>9</v>
      </c>
      <c r="C9">
        <v>12</v>
      </c>
      <c r="D9">
        <v>38260</v>
      </c>
      <c r="E9">
        <v>3</v>
      </c>
      <c r="F9">
        <f>VLOOKUP(B9, 'Category Reference'!$A$2:$C$7, 2, FALSE)</f>
        <v>999</v>
      </c>
      <c r="G9">
        <f>VLOOKUP(B9, 'Category Reference'!$A$2:$C$7, 3, FALSE)</f>
        <v>4999</v>
      </c>
    </row>
    <row r="10" spans="1:7" x14ac:dyDescent="0.3">
      <c r="A10" t="s">
        <v>14</v>
      </c>
      <c r="B10" t="s">
        <v>10</v>
      </c>
      <c r="C10">
        <v>17</v>
      </c>
      <c r="D10">
        <v>17800</v>
      </c>
      <c r="E10">
        <v>2</v>
      </c>
      <c r="F10">
        <f>VLOOKUP(B10, 'Category Reference'!$A$2:$C$7, 2, FALSE)</f>
        <v>199</v>
      </c>
      <c r="G10">
        <f>VLOOKUP(B10, 'Category Reference'!$A$2:$C$7, 3, FALSE)</f>
        <v>1999</v>
      </c>
    </row>
    <row r="11" spans="1:7" x14ac:dyDescent="0.3">
      <c r="A11" t="s">
        <v>14</v>
      </c>
      <c r="B11" t="s">
        <v>11</v>
      </c>
      <c r="C11">
        <v>26</v>
      </c>
      <c r="D11">
        <v>20686</v>
      </c>
      <c r="E11">
        <v>2</v>
      </c>
      <c r="F11">
        <f>VLOOKUP(B11, 'Category Reference'!$A$2:$C$7, 2, FALSE)</f>
        <v>199</v>
      </c>
      <c r="G11">
        <f>VLOOKUP(B11, 'Category Reference'!$A$2:$C$7, 3, FALSE)</f>
        <v>1499</v>
      </c>
    </row>
    <row r="12" spans="1:7" x14ac:dyDescent="0.3">
      <c r="A12" t="s">
        <v>14</v>
      </c>
      <c r="B12" t="s">
        <v>13</v>
      </c>
      <c r="C12">
        <v>17</v>
      </c>
      <c r="D12">
        <v>35874</v>
      </c>
      <c r="E12">
        <v>3</v>
      </c>
      <c r="F12">
        <f>VLOOKUP(B12, 'Category Reference'!$A$2:$C$7, 2, FALSE)</f>
        <v>699</v>
      </c>
      <c r="G12">
        <f>VLOOKUP(B12, 'Category Reference'!$A$2:$C$7, 3, FALSE)</f>
        <v>3499</v>
      </c>
    </row>
    <row r="13" spans="1:7" x14ac:dyDescent="0.3">
      <c r="A13" t="s">
        <v>15</v>
      </c>
      <c r="B13" t="s">
        <v>8</v>
      </c>
      <c r="C13">
        <v>21</v>
      </c>
      <c r="D13">
        <v>31346</v>
      </c>
      <c r="E13">
        <v>1</v>
      </c>
      <c r="F13">
        <f>VLOOKUP(B13, 'Category Reference'!$A$2:$C$7, 2, FALSE)</f>
        <v>499</v>
      </c>
      <c r="G13">
        <f>VLOOKUP(B13, 'Category Reference'!$A$2:$C$7, 3, FALSE)</f>
        <v>2499</v>
      </c>
    </row>
    <row r="14" spans="1:7" x14ac:dyDescent="0.3">
      <c r="A14" t="s">
        <v>15</v>
      </c>
      <c r="B14" t="s">
        <v>9</v>
      </c>
      <c r="C14">
        <v>19</v>
      </c>
      <c r="D14">
        <v>53123</v>
      </c>
      <c r="E14">
        <v>5</v>
      </c>
      <c r="F14">
        <f>VLOOKUP(B14, 'Category Reference'!$A$2:$C$7, 2, FALSE)</f>
        <v>999</v>
      </c>
      <c r="G14">
        <f>VLOOKUP(B14, 'Category Reference'!$A$2:$C$7, 3, FALSE)</f>
        <v>4999</v>
      </c>
    </row>
    <row r="15" spans="1:7" x14ac:dyDescent="0.3">
      <c r="A15" t="s">
        <v>15</v>
      </c>
      <c r="B15" t="s">
        <v>10</v>
      </c>
      <c r="C15">
        <v>21</v>
      </c>
      <c r="D15">
        <v>21388</v>
      </c>
      <c r="E15">
        <v>4</v>
      </c>
      <c r="F15">
        <f>VLOOKUP(B15, 'Category Reference'!$A$2:$C$7, 2, FALSE)</f>
        <v>199</v>
      </c>
      <c r="G15">
        <f>VLOOKUP(B15, 'Category Reference'!$A$2:$C$7, 3, FALSE)</f>
        <v>1999</v>
      </c>
    </row>
    <row r="16" spans="1:7" x14ac:dyDescent="0.3">
      <c r="A16" t="s">
        <v>15</v>
      </c>
      <c r="B16" t="s">
        <v>11</v>
      </c>
      <c r="C16">
        <v>18</v>
      </c>
      <c r="D16">
        <v>17290</v>
      </c>
      <c r="E16">
        <v>1</v>
      </c>
      <c r="F16">
        <f>VLOOKUP(B16, 'Category Reference'!$A$2:$C$7, 2, FALSE)</f>
        <v>199</v>
      </c>
      <c r="G16">
        <f>VLOOKUP(B16, 'Category Reference'!$A$2:$C$7, 3, FALSE)</f>
        <v>1499</v>
      </c>
    </row>
    <row r="17" spans="1:7" x14ac:dyDescent="0.3">
      <c r="A17" t="s">
        <v>15</v>
      </c>
      <c r="B17" t="s">
        <v>12</v>
      </c>
      <c r="C17">
        <v>19</v>
      </c>
      <c r="D17">
        <v>16631</v>
      </c>
      <c r="E17">
        <v>2</v>
      </c>
      <c r="F17">
        <f>VLOOKUP(B17, 'Category Reference'!$A$2:$C$7, 2, FALSE)</f>
        <v>349</v>
      </c>
      <c r="G17">
        <f>VLOOKUP(B17, 'Category Reference'!$A$2:$C$7, 3, FALSE)</f>
        <v>1499</v>
      </c>
    </row>
    <row r="18" spans="1:7" x14ac:dyDescent="0.3">
      <c r="A18" t="s">
        <v>15</v>
      </c>
      <c r="B18" t="s">
        <v>13</v>
      </c>
      <c r="C18">
        <v>21</v>
      </c>
      <c r="D18">
        <v>44036</v>
      </c>
      <c r="E18">
        <v>4</v>
      </c>
      <c r="F18">
        <f>VLOOKUP(B18, 'Category Reference'!$A$2:$C$7, 2, FALSE)</f>
        <v>699</v>
      </c>
      <c r="G18">
        <f>VLOOKUP(B18, 'Category Reference'!$A$2:$C$7, 3, FALSE)</f>
        <v>3499</v>
      </c>
    </row>
    <row r="19" spans="1:7" x14ac:dyDescent="0.3">
      <c r="A19" t="s">
        <v>16</v>
      </c>
      <c r="B19" t="s">
        <v>8</v>
      </c>
      <c r="C19">
        <v>23</v>
      </c>
      <c r="D19">
        <v>37171</v>
      </c>
      <c r="E19">
        <v>1</v>
      </c>
      <c r="F19">
        <f>VLOOKUP(B19, 'Category Reference'!$A$2:$C$7, 2, FALSE)</f>
        <v>499</v>
      </c>
      <c r="G19">
        <f>VLOOKUP(B19, 'Category Reference'!$A$2:$C$7, 3, FALSE)</f>
        <v>2499</v>
      </c>
    </row>
    <row r="20" spans="1:7" x14ac:dyDescent="0.3">
      <c r="A20" t="s">
        <v>16</v>
      </c>
      <c r="B20" t="s">
        <v>9</v>
      </c>
      <c r="C20">
        <v>21</v>
      </c>
      <c r="D20">
        <v>68652</v>
      </c>
      <c r="E20">
        <v>3</v>
      </c>
      <c r="F20">
        <f>VLOOKUP(B20, 'Category Reference'!$A$2:$C$7, 2, FALSE)</f>
        <v>999</v>
      </c>
      <c r="G20">
        <f>VLOOKUP(B20, 'Category Reference'!$A$2:$C$7, 3, FALSE)</f>
        <v>4999</v>
      </c>
    </row>
    <row r="21" spans="1:7" x14ac:dyDescent="0.3">
      <c r="A21" t="s">
        <v>16</v>
      </c>
      <c r="B21" t="s">
        <v>10</v>
      </c>
      <c r="C21">
        <v>21</v>
      </c>
      <c r="D21">
        <v>21976</v>
      </c>
      <c r="E21">
        <v>5</v>
      </c>
      <c r="F21">
        <f>VLOOKUP(B21, 'Category Reference'!$A$2:$C$7, 2, FALSE)</f>
        <v>199</v>
      </c>
      <c r="G21">
        <f>VLOOKUP(B21, 'Category Reference'!$A$2:$C$7, 3, FALSE)</f>
        <v>1999</v>
      </c>
    </row>
    <row r="22" spans="1:7" x14ac:dyDescent="0.3">
      <c r="A22" t="s">
        <v>16</v>
      </c>
      <c r="B22" t="s">
        <v>11</v>
      </c>
      <c r="C22">
        <v>12</v>
      </c>
      <c r="D22">
        <v>8557</v>
      </c>
      <c r="E22">
        <v>1</v>
      </c>
      <c r="F22">
        <f>VLOOKUP(B22, 'Category Reference'!$A$2:$C$7, 2, FALSE)</f>
        <v>199</v>
      </c>
      <c r="G22">
        <f>VLOOKUP(B22, 'Category Reference'!$A$2:$C$7, 3, FALSE)</f>
        <v>1499</v>
      </c>
    </row>
    <row r="23" spans="1:7" x14ac:dyDescent="0.3">
      <c r="A23" t="s">
        <v>16</v>
      </c>
      <c r="B23" t="s">
        <v>13</v>
      </c>
      <c r="C23">
        <v>25</v>
      </c>
      <c r="D23">
        <v>50284</v>
      </c>
      <c r="E23">
        <v>3</v>
      </c>
      <c r="F23">
        <f>VLOOKUP(B23, 'Category Reference'!$A$2:$C$7, 2, FALSE)</f>
        <v>699</v>
      </c>
      <c r="G23">
        <f>VLOOKUP(B23, 'Category Reference'!$A$2:$C$7, 3, FALSE)</f>
        <v>3499</v>
      </c>
    </row>
    <row r="24" spans="1:7" x14ac:dyDescent="0.3">
      <c r="A24" t="s">
        <v>17</v>
      </c>
      <c r="B24" t="s">
        <v>8</v>
      </c>
      <c r="C24">
        <v>23</v>
      </c>
      <c r="D24">
        <v>35405</v>
      </c>
      <c r="E24">
        <v>1</v>
      </c>
      <c r="F24">
        <f>VLOOKUP(B24, 'Category Reference'!$A$2:$C$7, 2, FALSE)</f>
        <v>499</v>
      </c>
      <c r="G24">
        <f>VLOOKUP(B24, 'Category Reference'!$A$2:$C$7, 3, FALSE)</f>
        <v>2499</v>
      </c>
    </row>
    <row r="25" spans="1:7" x14ac:dyDescent="0.3">
      <c r="A25" t="s">
        <v>17</v>
      </c>
      <c r="B25" t="s">
        <v>9</v>
      </c>
      <c r="C25">
        <v>24</v>
      </c>
      <c r="D25">
        <v>68761</v>
      </c>
      <c r="E25">
        <v>4</v>
      </c>
      <c r="F25">
        <f>VLOOKUP(B25, 'Category Reference'!$A$2:$C$7, 2, FALSE)</f>
        <v>999</v>
      </c>
      <c r="G25">
        <f>VLOOKUP(B25, 'Category Reference'!$A$2:$C$7, 3, FALSE)</f>
        <v>4999</v>
      </c>
    </row>
    <row r="26" spans="1:7" x14ac:dyDescent="0.3">
      <c r="A26" t="s">
        <v>17</v>
      </c>
      <c r="B26" t="s">
        <v>12</v>
      </c>
      <c r="C26">
        <v>22</v>
      </c>
      <c r="D26">
        <v>20739</v>
      </c>
      <c r="E26">
        <v>0</v>
      </c>
      <c r="F26">
        <f>VLOOKUP(B26, 'Category Reference'!$A$2:$C$7, 2, FALSE)</f>
        <v>349</v>
      </c>
      <c r="G26">
        <f>VLOOKUP(B26, 'Category Reference'!$A$2:$C$7, 3, FALSE)</f>
        <v>1499</v>
      </c>
    </row>
    <row r="27" spans="1:7" x14ac:dyDescent="0.3">
      <c r="A27" t="s">
        <v>17</v>
      </c>
      <c r="B27" t="s">
        <v>13</v>
      </c>
      <c r="C27">
        <v>30</v>
      </c>
      <c r="D27">
        <v>59340</v>
      </c>
      <c r="E27">
        <v>3</v>
      </c>
      <c r="F27">
        <f>VLOOKUP(B27, 'Category Reference'!$A$2:$C$7, 2, FALSE)</f>
        <v>699</v>
      </c>
      <c r="G27">
        <f>VLOOKUP(B27, 'Category Reference'!$A$2:$C$7, 3, FALSE)</f>
        <v>3499</v>
      </c>
    </row>
    <row r="28" spans="1:7" x14ac:dyDescent="0.3">
      <c r="A28" t="s">
        <v>18</v>
      </c>
      <c r="B28" t="s">
        <v>11</v>
      </c>
      <c r="C28">
        <v>27</v>
      </c>
      <c r="D28">
        <v>21305</v>
      </c>
      <c r="E28">
        <v>4</v>
      </c>
      <c r="F28">
        <f>VLOOKUP(B28, 'Category Reference'!$A$2:$C$7, 2, FALSE)</f>
        <v>199</v>
      </c>
      <c r="G28">
        <f>VLOOKUP(B28, 'Category Reference'!$A$2:$C$7, 3, FALSE)</f>
        <v>1499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D12" sqref="D12"/>
    </sheetView>
  </sheetViews>
  <sheetFormatPr defaultRowHeight="14.4" x14ac:dyDescent="0.3"/>
  <cols>
    <col min="2" max="2" width="12.109375" bestFit="1" customWidth="1"/>
    <col min="3" max="3" width="12.5546875" bestFit="1" customWidth="1"/>
  </cols>
  <sheetData>
    <row r="1" spans="1:3" x14ac:dyDescent="0.3">
      <c r="A1" s="1" t="s">
        <v>1</v>
      </c>
      <c r="B1" s="1" t="s">
        <v>5</v>
      </c>
      <c r="C1" s="1" t="s">
        <v>6</v>
      </c>
    </row>
    <row r="2" spans="1:3" x14ac:dyDescent="0.3">
      <c r="A2" t="s">
        <v>8</v>
      </c>
      <c r="B2">
        <v>499</v>
      </c>
      <c r="C2">
        <v>2499</v>
      </c>
    </row>
    <row r="3" spans="1:3" x14ac:dyDescent="0.3">
      <c r="A3" t="s">
        <v>13</v>
      </c>
      <c r="B3">
        <v>699</v>
      </c>
      <c r="C3">
        <v>3499</v>
      </c>
    </row>
    <row r="4" spans="1:3" x14ac:dyDescent="0.3">
      <c r="A4" t="s">
        <v>12</v>
      </c>
      <c r="B4">
        <v>349</v>
      </c>
      <c r="C4">
        <v>1499</v>
      </c>
    </row>
    <row r="5" spans="1:3" x14ac:dyDescent="0.3">
      <c r="A5" t="s">
        <v>9</v>
      </c>
      <c r="B5">
        <v>999</v>
      </c>
      <c r="C5">
        <v>4999</v>
      </c>
    </row>
    <row r="6" spans="1:3" x14ac:dyDescent="0.3">
      <c r="A6" t="s">
        <v>11</v>
      </c>
      <c r="B6">
        <v>199</v>
      </c>
      <c r="C6">
        <v>1499</v>
      </c>
    </row>
    <row r="7" spans="1:3" x14ac:dyDescent="0.3">
      <c r="A7" t="s">
        <v>10</v>
      </c>
      <c r="B7">
        <v>199</v>
      </c>
      <c r="C7">
        <v>1999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>
      <selection activeCell="J25" sqref="J25"/>
    </sheetView>
  </sheetViews>
  <sheetFormatPr defaultRowHeight="14.4" x14ac:dyDescent="0.3"/>
  <sheetData>
    <row r="1" spans="1:8" x14ac:dyDescent="0.3">
      <c r="A1" t="s">
        <v>7</v>
      </c>
      <c r="B1">
        <v>37340</v>
      </c>
      <c r="C1">
        <v>67699</v>
      </c>
      <c r="D1">
        <v>11762</v>
      </c>
      <c r="E1">
        <v>13158</v>
      </c>
      <c r="F1">
        <v>10156</v>
      </c>
      <c r="G1">
        <v>43851</v>
      </c>
      <c r="H1">
        <v>183966</v>
      </c>
    </row>
    <row r="2" spans="1:8" x14ac:dyDescent="0.3">
      <c r="A2" t="s">
        <v>14</v>
      </c>
      <c r="B2">
        <v>21387</v>
      </c>
      <c r="C2">
        <v>38260</v>
      </c>
      <c r="D2">
        <v>17800</v>
      </c>
      <c r="E2">
        <v>20686</v>
      </c>
      <c r="G2">
        <v>35874</v>
      </c>
      <c r="H2">
        <v>134007</v>
      </c>
    </row>
    <row r="3" spans="1:8" x14ac:dyDescent="0.3">
      <c r="A3" t="s">
        <v>15</v>
      </c>
      <c r="B3">
        <v>31346</v>
      </c>
      <c r="C3">
        <v>53123</v>
      </c>
      <c r="D3">
        <v>21388</v>
      </c>
      <c r="E3">
        <v>17290</v>
      </c>
      <c r="F3">
        <v>16631</v>
      </c>
      <c r="G3">
        <v>44036</v>
      </c>
      <c r="H3">
        <v>183814</v>
      </c>
    </row>
    <row r="4" spans="1:8" x14ac:dyDescent="0.3">
      <c r="A4" t="s">
        <v>16</v>
      </c>
      <c r="B4">
        <v>37171</v>
      </c>
      <c r="C4">
        <v>68652</v>
      </c>
      <c r="D4">
        <v>21976</v>
      </c>
      <c r="E4">
        <v>8557</v>
      </c>
      <c r="G4">
        <v>50284</v>
      </c>
      <c r="H4">
        <v>186640</v>
      </c>
    </row>
    <row r="5" spans="1:8" x14ac:dyDescent="0.3">
      <c r="A5" t="s">
        <v>17</v>
      </c>
      <c r="B5">
        <v>35405</v>
      </c>
      <c r="C5">
        <v>68761</v>
      </c>
      <c r="F5">
        <v>20739</v>
      </c>
      <c r="G5">
        <v>59340</v>
      </c>
      <c r="H5">
        <v>184245</v>
      </c>
    </row>
    <row r="6" spans="1:8" x14ac:dyDescent="0.3">
      <c r="A6" t="s">
        <v>18</v>
      </c>
      <c r="E6">
        <v>21305</v>
      </c>
      <c r="H6">
        <v>21305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tabSelected="1" workbookViewId="0">
      <selection activeCell="D19" sqref="D19"/>
    </sheetView>
  </sheetViews>
  <sheetFormatPr defaultRowHeight="14.4" x14ac:dyDescent="0.3"/>
  <cols>
    <col min="2" max="2" width="17.44140625" bestFit="1" customWidth="1"/>
    <col min="3" max="3" width="16.5546875" bestFit="1" customWidth="1"/>
    <col min="4" max="4" width="24.109375" bestFit="1" customWidth="1"/>
    <col min="5" max="5" width="18.88671875" bestFit="1" customWidth="1"/>
    <col min="6" max="6" width="22.44140625" bestFit="1" customWidth="1"/>
  </cols>
  <sheetData>
    <row r="1" spans="1:6" x14ac:dyDescent="0.3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</row>
    <row r="2" spans="1:6" x14ac:dyDescent="0.3">
      <c r="A2" s="2" t="s">
        <v>7</v>
      </c>
      <c r="B2" s="2">
        <f>SUMIFS('City-Category Data'!$D$2:$D$28, 'City-Category Data'!$A$2:$A$28, A2)</f>
        <v>183966</v>
      </c>
      <c r="C2" s="2">
        <f>SUMIFS('City-Category Data'!$E$2:$E$28, 'City-Category Data'!$A$2:$A$28, A2)</f>
        <v>13</v>
      </c>
      <c r="D2" s="2">
        <f>COUNTIFS('City-Category Data'!$A$2:$A$28, A2)</f>
        <v>6</v>
      </c>
      <c r="E2" s="2">
        <v>183966</v>
      </c>
      <c r="F2" s="2" t="str">
        <f t="shared" ref="F2:F7" si="0">IF(B2=E2, "Yes", "No")</f>
        <v>Yes</v>
      </c>
    </row>
    <row r="3" spans="1:6" x14ac:dyDescent="0.3">
      <c r="A3" s="2" t="s">
        <v>14</v>
      </c>
      <c r="B3" s="2">
        <f>SUMIFS('City-Category Data'!$D$2:$D$28, 'City-Category Data'!$A$2:$A$28, A3)</f>
        <v>134007</v>
      </c>
      <c r="C3" s="2">
        <f>SUMIFS('City-Category Data'!$E$2:$E$28, 'City-Category Data'!$A$2:$A$28, A3)</f>
        <v>14</v>
      </c>
      <c r="D3" s="2">
        <f>COUNTIFS('City-Category Data'!$A$2:$A$28, A3)</f>
        <v>5</v>
      </c>
      <c r="E3" s="2">
        <v>134007</v>
      </c>
      <c r="F3" s="2" t="str">
        <f t="shared" si="0"/>
        <v>Yes</v>
      </c>
    </row>
    <row r="4" spans="1:6" x14ac:dyDescent="0.3">
      <c r="A4" s="2" t="s">
        <v>15</v>
      </c>
      <c r="B4" s="2">
        <f>SUMIFS('City-Category Data'!$D$2:$D$28, 'City-Category Data'!$A$2:$A$28, A4)</f>
        <v>183814</v>
      </c>
      <c r="C4" s="2">
        <f>SUMIFS('City-Category Data'!$E$2:$E$28, 'City-Category Data'!$A$2:$A$28, A4)</f>
        <v>17</v>
      </c>
      <c r="D4" s="2">
        <f>COUNTIFS('City-Category Data'!$A$2:$A$28, A4)</f>
        <v>6</v>
      </c>
      <c r="E4" s="2">
        <v>183814</v>
      </c>
      <c r="F4" s="2" t="str">
        <f t="shared" si="0"/>
        <v>Yes</v>
      </c>
    </row>
    <row r="5" spans="1:6" x14ac:dyDescent="0.3">
      <c r="A5" s="2" t="s">
        <v>16</v>
      </c>
      <c r="B5" s="2">
        <f>SUMIFS('City-Category Data'!$D$2:$D$28, 'City-Category Data'!$A$2:$A$28, A5)</f>
        <v>186640</v>
      </c>
      <c r="C5" s="2">
        <f>SUMIFS('City-Category Data'!$E$2:$E$28, 'City-Category Data'!$A$2:$A$28, A5)</f>
        <v>13</v>
      </c>
      <c r="D5" s="2">
        <f>COUNTIFS('City-Category Data'!$A$2:$A$28, A5)</f>
        <v>5</v>
      </c>
      <c r="E5" s="2">
        <v>186640</v>
      </c>
      <c r="F5" s="2" t="str">
        <f t="shared" si="0"/>
        <v>Yes</v>
      </c>
    </row>
    <row r="6" spans="1:6" x14ac:dyDescent="0.3">
      <c r="A6" s="2" t="s">
        <v>17</v>
      </c>
      <c r="B6" s="2">
        <f>SUMIFS('City-Category Data'!$D$2:$D$28, 'City-Category Data'!$A$2:$A$28, A6)</f>
        <v>184245</v>
      </c>
      <c r="C6" s="2">
        <f>SUMIFS('City-Category Data'!$E$2:$E$28, 'City-Category Data'!$A$2:$A$28, A6)</f>
        <v>8</v>
      </c>
      <c r="D6" s="2">
        <f>COUNTIFS('City-Category Data'!$A$2:$A$28, A6)</f>
        <v>4</v>
      </c>
      <c r="E6" s="2">
        <v>184245</v>
      </c>
      <c r="F6" s="2" t="str">
        <f t="shared" si="0"/>
        <v>Yes</v>
      </c>
    </row>
    <row r="7" spans="1:6" x14ac:dyDescent="0.3">
      <c r="A7" s="2" t="s">
        <v>18</v>
      </c>
      <c r="B7" s="2">
        <f>SUMIFS('City-Category Data'!$D$2:$D$28, 'City-Category Data'!$A$2:$A$28, A7)</f>
        <v>21305</v>
      </c>
      <c r="C7" s="2">
        <f>SUMIFS('City-Category Data'!$E$2:$E$28, 'City-Category Data'!$A$2:$A$28, A7)</f>
        <v>4</v>
      </c>
      <c r="D7" s="2">
        <f>COUNTIFS('City-Category Data'!$A$2:$A$28, A7)</f>
        <v>1</v>
      </c>
      <c r="E7" s="2">
        <v>21305</v>
      </c>
      <c r="F7" s="2" t="str">
        <f t="shared" si="0"/>
        <v>Yes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City-Category Data</vt:lpstr>
      <vt:lpstr>Category Reference</vt:lpstr>
      <vt:lpstr>Revenue Pivot Table</vt:lpstr>
      <vt:lpstr>KPI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madhuri L</cp:lastModifiedBy>
  <dcterms:created xsi:type="dcterms:W3CDTF">2026-09-27T06:51:02Z</dcterms:created>
  <dcterms:modified xsi:type="dcterms:W3CDTF">2026-09-27T06:54:23Z</dcterms:modified>
</cp:coreProperties>
</file>